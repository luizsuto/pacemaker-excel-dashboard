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izs\Desktop\"/>
    </mc:Choice>
  </mc:AlternateContent>
  <xr:revisionPtr revIDLastSave="0" documentId="13_ncr:1_{4D6B9468-96D6-4A2F-9519-818E9AD5D613}" xr6:coauthVersionLast="47" xr6:coauthVersionMax="47" xr10:uidLastSave="{00000000-0000-0000-0000-000000000000}"/>
  <bookViews>
    <workbookView xWindow="-120" yWindow="-120" windowWidth="24240" windowHeight="13020" tabRatio="19" xr2:uid="{00000000-000D-0000-FFFF-FFFF00000000}"/>
  </bookViews>
  <sheets>
    <sheet name="Principal" sheetId="1" r:id="rId1"/>
    <sheet name="Provas" sheetId="2" r:id="rId2"/>
    <sheet name="Treinos" sheetId="3" r:id="rId3"/>
    <sheet name="Ritm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H21" i="3"/>
  <c r="G20" i="3"/>
  <c r="G21" i="3"/>
  <c r="G16" i="3"/>
  <c r="F16" i="1"/>
  <c r="D16" i="1"/>
  <c r="B16" i="1"/>
  <c r="D16" i="4"/>
  <c r="D23" i="4" s="1"/>
  <c r="H19" i="3"/>
  <c r="G19" i="3"/>
  <c r="H18" i="3"/>
  <c r="G18" i="3"/>
  <c r="H17" i="3"/>
  <c r="G17" i="3"/>
  <c r="H16" i="3"/>
  <c r="H41" i="3"/>
  <c r="G41" i="3"/>
  <c r="D21" i="4" l="1"/>
  <c r="D24" i="4"/>
  <c r="D22" i="4"/>
</calcChain>
</file>

<file path=xl/sharedStrings.xml><?xml version="1.0" encoding="utf-8"?>
<sst xmlns="http://schemas.openxmlformats.org/spreadsheetml/2006/main" count="44" uniqueCount="39">
  <si>
    <t>Data</t>
  </si>
  <si>
    <t>Tipo de Treino</t>
  </si>
  <si>
    <t>Volume Alvo (Km)</t>
  </si>
  <si>
    <t>Volume Realizado (Km)</t>
  </si>
  <si>
    <t>Tempo Gasto</t>
  </si>
  <si>
    <t>Pace Médio</t>
  </si>
  <si>
    <t>Status</t>
  </si>
  <si>
    <t>Ritmo</t>
  </si>
  <si>
    <t>Data da Prova</t>
  </si>
  <si>
    <t>Nome do Evento</t>
  </si>
  <si>
    <t>Distância Alvo</t>
  </si>
  <si>
    <t>Valor Pago</t>
  </si>
  <si>
    <t>21k</t>
  </si>
  <si>
    <t>42k</t>
  </si>
  <si>
    <t>Inscrito</t>
  </si>
  <si>
    <t>The Hardest Run 2026</t>
  </si>
  <si>
    <t>10k</t>
  </si>
  <si>
    <t>Planejada</t>
  </si>
  <si>
    <t>Meia Maratona de Pinhais</t>
  </si>
  <si>
    <t>Concluída</t>
  </si>
  <si>
    <t>Distância de Ref. (Km)</t>
  </si>
  <si>
    <t>Tempo Recente</t>
  </si>
  <si>
    <t>Pace de Referência</t>
  </si>
  <si>
    <t>Intensidade</t>
  </si>
  <si>
    <t>Pace Alvo</t>
  </si>
  <si>
    <t>Regenerativo Z1</t>
  </si>
  <si>
    <t>Rodagem / Longão Z2</t>
  </si>
  <si>
    <t>+15% do Pace</t>
  </si>
  <si>
    <t>Ritmo de Prova Z3</t>
  </si>
  <si>
    <t>Treino de Tiros Z4/Z5</t>
  </si>
  <si>
    <t>100% do Pace</t>
  </si>
  <si>
    <t>-8% do Pace</t>
  </si>
  <si>
    <t>+30% do Pace</t>
  </si>
  <si>
    <t>Km Rodados no Ano</t>
  </si>
  <si>
    <t>Total de Gastos em Inscrições</t>
  </si>
  <si>
    <t>Próximo Evento Alvo</t>
  </si>
  <si>
    <t>Regenerativo</t>
  </si>
  <si>
    <t>Rodagem / Longão</t>
  </si>
  <si>
    <t>Maratona de 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</si>
</sst>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45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45" fontId="0" fillId="5" borderId="0" xfId="0" applyNumberFormat="1" applyFill="1" applyAlignment="1">
      <alignment horizontal="center"/>
    </xf>
    <xf numFmtId="0" fontId="0" fillId="5" borderId="0" xfId="0" applyFill="1"/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4" fontId="0" fillId="5" borderId="0" xfId="0" applyNumberFormat="1" applyFill="1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 applyAlignment="1" applyProtection="1">
      <alignment horizontal="center" vertical="center"/>
      <protection locked="0"/>
    </xf>
    <xf numFmtId="164" fontId="0" fillId="5" borderId="0" xfId="0" applyNumberFormat="1" applyFill="1" applyProtection="1">
      <protection locked="0"/>
    </xf>
    <xf numFmtId="2" fontId="0" fillId="5" borderId="0" xfId="0" applyNumberFormat="1" applyFill="1" applyProtection="1">
      <protection locked="0"/>
    </xf>
    <xf numFmtId="21" fontId="0" fillId="5" borderId="0" xfId="0" applyNumberFormat="1" applyFill="1" applyProtection="1">
      <protection locked="0"/>
    </xf>
    <xf numFmtId="0" fontId="0" fillId="5" borderId="4" xfId="0" applyFill="1" applyBorder="1" applyAlignment="1" applyProtection="1">
      <alignment horizontal="center"/>
      <protection locked="0"/>
    </xf>
    <xf numFmtId="21" fontId="0" fillId="5" borderId="4" xfId="0" applyNumberFormat="1" applyFill="1" applyBorder="1" applyAlignment="1" applyProtection="1">
      <alignment horizontal="center"/>
      <protection locked="0"/>
    </xf>
    <xf numFmtId="45" fontId="0" fillId="5" borderId="4" xfId="0" applyNumberFormat="1" applyFill="1" applyBorder="1" applyAlignment="1">
      <alignment horizontal="center"/>
    </xf>
    <xf numFmtId="45" fontId="0" fillId="5" borderId="0" xfId="0" applyNumberFormat="1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itmo!A1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Principal!A1"/><Relationship Id="rId1" Type="http://schemas.openxmlformats.org/officeDocument/2006/relationships/image" Target="../media/image1.png"/><Relationship Id="rId6" Type="http://schemas.openxmlformats.org/officeDocument/2006/relationships/hyperlink" Target="#Treinos!A1"/><Relationship Id="rId5" Type="http://schemas.openxmlformats.org/officeDocument/2006/relationships/image" Target="../media/image3.png"/><Relationship Id="rId4" Type="http://schemas.openxmlformats.org/officeDocument/2006/relationships/hyperlink" Target="#Provas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Provas!A1"/><Relationship Id="rId7" Type="http://schemas.openxmlformats.org/officeDocument/2006/relationships/hyperlink" Target="#Ritmo!A1"/><Relationship Id="rId2" Type="http://schemas.openxmlformats.org/officeDocument/2006/relationships/image" Target="../media/image2.png"/><Relationship Id="rId1" Type="http://schemas.openxmlformats.org/officeDocument/2006/relationships/hyperlink" Target="#Principal!A1"/><Relationship Id="rId6" Type="http://schemas.openxmlformats.org/officeDocument/2006/relationships/image" Target="../media/image4.png"/><Relationship Id="rId5" Type="http://schemas.openxmlformats.org/officeDocument/2006/relationships/hyperlink" Target="#Treinos!A1"/><Relationship Id="rId4" Type="http://schemas.openxmlformats.org/officeDocument/2006/relationships/image" Target="../media/image3.png"/><Relationship Id="rId9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Provas!A1"/><Relationship Id="rId7" Type="http://schemas.openxmlformats.org/officeDocument/2006/relationships/hyperlink" Target="#Ritmo!A1"/><Relationship Id="rId2" Type="http://schemas.openxmlformats.org/officeDocument/2006/relationships/image" Target="../media/image2.png"/><Relationship Id="rId1" Type="http://schemas.openxmlformats.org/officeDocument/2006/relationships/hyperlink" Target="#Principal!A1"/><Relationship Id="rId6" Type="http://schemas.openxmlformats.org/officeDocument/2006/relationships/image" Target="../media/image4.png"/><Relationship Id="rId5" Type="http://schemas.openxmlformats.org/officeDocument/2006/relationships/hyperlink" Target="#Treinos!A1"/><Relationship Id="rId4" Type="http://schemas.openxmlformats.org/officeDocument/2006/relationships/image" Target="../media/image3.png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Provas!A1"/><Relationship Id="rId7" Type="http://schemas.openxmlformats.org/officeDocument/2006/relationships/hyperlink" Target="#Ritmo!A1"/><Relationship Id="rId2" Type="http://schemas.openxmlformats.org/officeDocument/2006/relationships/image" Target="../media/image2.png"/><Relationship Id="rId1" Type="http://schemas.openxmlformats.org/officeDocument/2006/relationships/hyperlink" Target="#Principal!A1"/><Relationship Id="rId6" Type="http://schemas.openxmlformats.org/officeDocument/2006/relationships/image" Target="../media/image4.png"/><Relationship Id="rId5" Type="http://schemas.openxmlformats.org/officeDocument/2006/relationships/hyperlink" Target="#Treinos!A1"/><Relationship Id="rId4" Type="http://schemas.openxmlformats.org/officeDocument/2006/relationships/image" Target="../media/image3.pn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6</xdr:col>
      <xdr:colOff>228600</xdr:colOff>
      <xdr:row>9</xdr:row>
      <xdr:rowOff>57151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9B3A485-80CC-55F5-0732-DB760282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505450" cy="177165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9</xdr:row>
      <xdr:rowOff>123826</xdr:rowOff>
    </xdr:from>
    <xdr:to>
      <xdr:col>1</xdr:col>
      <xdr:colOff>1055404</xdr:colOff>
      <xdr:row>12</xdr:row>
      <xdr:rowOff>28576</xdr:rowOff>
    </xdr:to>
    <xdr:pic>
      <xdr:nvPicPr>
        <xdr:cNvPr id="6" name="Imagem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2FAEF-BC78-E8C7-9485-075F12945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838326"/>
          <a:ext cx="1245904" cy="476250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absolute">
    <xdr:from>
      <xdr:col>1</xdr:col>
      <xdr:colOff>1219200</xdr:colOff>
      <xdr:row>9</xdr:row>
      <xdr:rowOff>133351</xdr:rowOff>
    </xdr:from>
    <xdr:to>
      <xdr:col>3</xdr:col>
      <xdr:colOff>1009650</xdr:colOff>
      <xdr:row>12</xdr:row>
      <xdr:rowOff>33339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B6C1B4-4E79-F4B6-FF9F-9AFA049E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847851"/>
          <a:ext cx="1257300" cy="471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1190626</xdr:colOff>
      <xdr:row>9</xdr:row>
      <xdr:rowOff>142876</xdr:rowOff>
    </xdr:from>
    <xdr:to>
      <xdr:col>5</xdr:col>
      <xdr:colOff>445805</xdr:colOff>
      <xdr:row>12</xdr:row>
      <xdr:rowOff>47626</xdr:rowOff>
    </xdr:to>
    <xdr:pic>
      <xdr:nvPicPr>
        <xdr:cNvPr id="10" name="Imagem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0A562D-DDB4-0A70-6CA0-517903BD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85737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5</xdr:col>
      <xdr:colOff>638175</xdr:colOff>
      <xdr:row>9</xdr:row>
      <xdr:rowOff>142875</xdr:rowOff>
    </xdr:from>
    <xdr:to>
      <xdr:col>6</xdr:col>
      <xdr:colOff>241497</xdr:colOff>
      <xdr:row>12</xdr:row>
      <xdr:rowOff>38100</xdr:rowOff>
    </xdr:to>
    <xdr:pic>
      <xdr:nvPicPr>
        <xdr:cNvPr id="12" name="Imagem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7BB82F-19E3-1E89-1C58-608568CC6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857375"/>
          <a:ext cx="1222572" cy="466725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123825</xdr:rowOff>
    </xdr:from>
    <xdr:to>
      <xdr:col>2</xdr:col>
      <xdr:colOff>66675</xdr:colOff>
      <xdr:row>12</xdr:row>
      <xdr:rowOff>9525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55D1A9C8-5EFF-AA6C-701F-F758F8425522}"/>
            </a:ext>
          </a:extLst>
        </xdr:cNvPr>
        <xdr:cNvSpPr/>
      </xdr:nvSpPr>
      <xdr:spPr>
        <a:xfrm>
          <a:off x="19050" y="1838325"/>
          <a:ext cx="1266825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209550</xdr:colOff>
      <xdr:row>9</xdr:row>
      <xdr:rowOff>142875</xdr:rowOff>
    </xdr:from>
    <xdr:to>
      <xdr:col>4</xdr:col>
      <xdr:colOff>238125</xdr:colOff>
      <xdr:row>12</xdr:row>
      <xdr:rowOff>28575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3A1F9D7-100F-4BEC-9ACD-446D380A3DEC}"/>
            </a:ext>
          </a:extLst>
        </xdr:cNvPr>
        <xdr:cNvSpPr/>
      </xdr:nvSpPr>
      <xdr:spPr>
        <a:xfrm>
          <a:off x="1428750" y="1857375"/>
          <a:ext cx="1247775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419100</xdr:colOff>
      <xdr:row>9</xdr:row>
      <xdr:rowOff>133350</xdr:rowOff>
    </xdr:from>
    <xdr:to>
      <xdr:col>6</xdr:col>
      <xdr:colOff>447675</xdr:colOff>
      <xdr:row>12</xdr:row>
      <xdr:rowOff>38100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E1DDF450-B2EA-7003-4D49-90D62FBAACFC}"/>
            </a:ext>
          </a:extLst>
        </xdr:cNvPr>
        <xdr:cNvSpPr/>
      </xdr:nvSpPr>
      <xdr:spPr>
        <a:xfrm>
          <a:off x="2857500" y="1847850"/>
          <a:ext cx="1247775" cy="476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28575</xdr:colOff>
      <xdr:row>9</xdr:row>
      <xdr:rowOff>152400</xdr:rowOff>
    </xdr:from>
    <xdr:to>
      <xdr:col>9</xdr:col>
      <xdr:colOff>9525</xdr:colOff>
      <xdr:row>12</xdr:row>
      <xdr:rowOff>57150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689CCE74-AF83-8518-F2EF-146C565F243A}"/>
            </a:ext>
          </a:extLst>
        </xdr:cNvPr>
        <xdr:cNvSpPr/>
      </xdr:nvSpPr>
      <xdr:spPr>
        <a:xfrm>
          <a:off x="4295775" y="1866900"/>
          <a:ext cx="1200150" cy="476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9525</xdr:colOff>
      <xdr:row>9</xdr:row>
      <xdr:rowOff>76200</xdr:rowOff>
    </xdr:from>
    <xdr:to>
      <xdr:col>1</xdr:col>
      <xdr:colOff>1152525</xdr:colOff>
      <xdr:row>12</xdr:row>
      <xdr:rowOff>114300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26A6CB4E-2459-21B6-01E7-21B72672EDD1}"/>
            </a:ext>
          </a:extLst>
        </xdr:cNvPr>
        <xdr:cNvSpPr/>
      </xdr:nvSpPr>
      <xdr:spPr>
        <a:xfrm>
          <a:off x="9525" y="1790700"/>
          <a:ext cx="1343025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9</xdr:row>
      <xdr:rowOff>123826</xdr:rowOff>
    </xdr:from>
    <xdr:to>
      <xdr:col>2</xdr:col>
      <xdr:colOff>217204</xdr:colOff>
      <xdr:row>12</xdr:row>
      <xdr:rowOff>28576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8C7FA-5471-41BC-B4D5-1B20C0E0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83832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2</xdr:col>
      <xdr:colOff>381000</xdr:colOff>
      <xdr:row>9</xdr:row>
      <xdr:rowOff>133351</xdr:rowOff>
    </xdr:from>
    <xdr:to>
      <xdr:col>2</xdr:col>
      <xdr:colOff>1638300</xdr:colOff>
      <xdr:row>12</xdr:row>
      <xdr:rowOff>33339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FF1550-DCBE-4584-A690-C35B8C8F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847851"/>
          <a:ext cx="1257300" cy="471488"/>
        </a:xfrm>
        <a:prstGeom prst="rect">
          <a:avLst/>
        </a:prstGeom>
      </xdr:spPr>
    </xdr:pic>
    <xdr:clientData/>
  </xdr:twoCellAnchor>
  <xdr:twoCellAnchor editAs="absolute">
    <xdr:from>
      <xdr:col>3</xdr:col>
      <xdr:colOff>38101</xdr:colOff>
      <xdr:row>9</xdr:row>
      <xdr:rowOff>142876</xdr:rowOff>
    </xdr:from>
    <xdr:to>
      <xdr:col>4</xdr:col>
      <xdr:colOff>379130</xdr:colOff>
      <xdr:row>12</xdr:row>
      <xdr:rowOff>47626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D215C9-60A7-41B2-81A4-15064F58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85737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4</xdr:col>
      <xdr:colOff>571500</xdr:colOff>
      <xdr:row>9</xdr:row>
      <xdr:rowOff>142875</xdr:rowOff>
    </xdr:from>
    <xdr:to>
      <xdr:col>6</xdr:col>
      <xdr:colOff>241497</xdr:colOff>
      <xdr:row>12</xdr:row>
      <xdr:rowOff>38100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F1B5B3-8F5A-46D8-B8EE-12C4C3B6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857375"/>
          <a:ext cx="1222572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6</xdr:col>
      <xdr:colOff>228600</xdr:colOff>
      <xdr:row>9</xdr:row>
      <xdr:rowOff>57150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07B2501-2FC1-44CA-9374-FA0451B7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771650"/>
        </a:xfrm>
        <a:prstGeom prst="rect">
          <a:avLst/>
        </a:prstGeom>
      </xdr:spPr>
    </xdr:pic>
    <xdr:clientData/>
  </xdr:twoCellAnchor>
  <xdr:twoCellAnchor editAs="absolute">
    <xdr:from>
      <xdr:col>2</xdr:col>
      <xdr:colOff>333375</xdr:colOff>
      <xdr:row>9</xdr:row>
      <xdr:rowOff>95250</xdr:rowOff>
    </xdr:from>
    <xdr:to>
      <xdr:col>2</xdr:col>
      <xdr:colOff>1752600</xdr:colOff>
      <xdr:row>12</xdr:row>
      <xdr:rowOff>161925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12014D8-4B50-EADA-C264-764AD0A39032}"/>
            </a:ext>
          </a:extLst>
        </xdr:cNvPr>
        <xdr:cNvSpPr/>
      </xdr:nvSpPr>
      <xdr:spPr>
        <a:xfrm>
          <a:off x="1371600" y="1809750"/>
          <a:ext cx="1419225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9</xdr:row>
      <xdr:rowOff>123826</xdr:rowOff>
    </xdr:from>
    <xdr:to>
      <xdr:col>2</xdr:col>
      <xdr:colOff>350554</xdr:colOff>
      <xdr:row>12</xdr:row>
      <xdr:rowOff>28576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2F619-C3D1-4225-995B-F91DA5FC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83832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2</xdr:col>
      <xdr:colOff>514350</xdr:colOff>
      <xdr:row>9</xdr:row>
      <xdr:rowOff>133351</xdr:rowOff>
    </xdr:from>
    <xdr:to>
      <xdr:col>3</xdr:col>
      <xdr:colOff>600075</xdr:colOff>
      <xdr:row>12</xdr:row>
      <xdr:rowOff>33339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3B0D9E-DD66-4ED6-982A-D82E2D8BA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847851"/>
          <a:ext cx="1257300" cy="471488"/>
        </a:xfrm>
        <a:prstGeom prst="rect">
          <a:avLst/>
        </a:prstGeom>
      </xdr:spPr>
    </xdr:pic>
    <xdr:clientData/>
  </xdr:twoCellAnchor>
  <xdr:twoCellAnchor editAs="absolute">
    <xdr:from>
      <xdr:col>4</xdr:col>
      <xdr:colOff>47626</xdr:colOff>
      <xdr:row>9</xdr:row>
      <xdr:rowOff>142876</xdr:rowOff>
    </xdr:from>
    <xdr:to>
      <xdr:col>5</xdr:col>
      <xdr:colOff>474380</xdr:colOff>
      <xdr:row>12</xdr:row>
      <xdr:rowOff>47626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7DB41C-1249-465C-A9AB-1683E583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85737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5</xdr:col>
      <xdr:colOff>666750</xdr:colOff>
      <xdr:row>9</xdr:row>
      <xdr:rowOff>142875</xdr:rowOff>
    </xdr:from>
    <xdr:to>
      <xdr:col>7</xdr:col>
      <xdr:colOff>660597</xdr:colOff>
      <xdr:row>12</xdr:row>
      <xdr:rowOff>38100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C53AE9-EA8B-4195-AA19-5E8C737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857375"/>
          <a:ext cx="1222572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7</xdr:col>
      <xdr:colOff>647700</xdr:colOff>
      <xdr:row>9</xdr:row>
      <xdr:rowOff>57150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A783784-A88C-42DB-8186-4BFC5E83E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77165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9</xdr:row>
      <xdr:rowOff>104775</xdr:rowOff>
    </xdr:from>
    <xdr:to>
      <xdr:col>5</xdr:col>
      <xdr:colOff>647700</xdr:colOff>
      <xdr:row>12</xdr:row>
      <xdr:rowOff>123825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44AB50E-57BA-CA13-B317-41B153AC5CCF}"/>
            </a:ext>
          </a:extLst>
        </xdr:cNvPr>
        <xdr:cNvSpPr/>
      </xdr:nvSpPr>
      <xdr:spPr>
        <a:xfrm>
          <a:off x="2771775" y="1819275"/>
          <a:ext cx="1447800" cy="59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noFill/>
            </a:ln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9</xdr:row>
      <xdr:rowOff>123826</xdr:rowOff>
    </xdr:from>
    <xdr:to>
      <xdr:col>1</xdr:col>
      <xdr:colOff>845854</xdr:colOff>
      <xdr:row>12</xdr:row>
      <xdr:rowOff>28576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7DA3C3-794D-4DB4-8C26-9713AE8A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83832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1</xdr:col>
      <xdr:colOff>1009650</xdr:colOff>
      <xdr:row>9</xdr:row>
      <xdr:rowOff>133351</xdr:rowOff>
    </xdr:from>
    <xdr:to>
      <xdr:col>2</xdr:col>
      <xdr:colOff>771525</xdr:colOff>
      <xdr:row>12</xdr:row>
      <xdr:rowOff>33339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AF4A61-7933-4D4A-B0AC-448F0F4F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847851"/>
          <a:ext cx="1257300" cy="471488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952501</xdr:colOff>
      <xdr:row>9</xdr:row>
      <xdr:rowOff>142876</xdr:rowOff>
    </xdr:from>
    <xdr:to>
      <xdr:col>3</xdr:col>
      <xdr:colOff>836330</xdr:colOff>
      <xdr:row>12</xdr:row>
      <xdr:rowOff>47626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9CE511-4816-4568-AE7C-E9A22D72B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857376"/>
          <a:ext cx="1245904" cy="476250"/>
        </a:xfrm>
        <a:prstGeom prst="rect">
          <a:avLst/>
        </a:prstGeom>
      </xdr:spPr>
    </xdr:pic>
    <xdr:clientData/>
  </xdr:twoCellAnchor>
  <xdr:twoCellAnchor editAs="absolute">
    <xdr:from>
      <xdr:col>3</xdr:col>
      <xdr:colOff>1028700</xdr:colOff>
      <xdr:row>9</xdr:row>
      <xdr:rowOff>142875</xdr:rowOff>
    </xdr:from>
    <xdr:to>
      <xdr:col>4</xdr:col>
      <xdr:colOff>1041597</xdr:colOff>
      <xdr:row>12</xdr:row>
      <xdr:rowOff>38100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0C4864-8828-4C54-8627-D1698DFEC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857375"/>
          <a:ext cx="1222572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1028700</xdr:colOff>
      <xdr:row>9</xdr:row>
      <xdr:rowOff>57150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96CBD1C-603E-47CC-84DE-B98FA1841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771650"/>
        </a:xfrm>
        <a:prstGeom prst="rect">
          <a:avLst/>
        </a:prstGeom>
      </xdr:spPr>
    </xdr:pic>
    <xdr:clientData/>
  </xdr:twoCellAnchor>
  <xdr:twoCellAnchor editAs="absolute">
    <xdr:from>
      <xdr:col>3</xdr:col>
      <xdr:colOff>923925</xdr:colOff>
      <xdr:row>9</xdr:row>
      <xdr:rowOff>104775</xdr:rowOff>
    </xdr:from>
    <xdr:to>
      <xdr:col>4</xdr:col>
      <xdr:colOff>1133475</xdr:colOff>
      <xdr:row>12</xdr:row>
      <xdr:rowOff>114300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A8CC3137-C6DC-8D10-23E3-FE1A8AB7099C}"/>
            </a:ext>
          </a:extLst>
        </xdr:cNvPr>
        <xdr:cNvSpPr/>
      </xdr:nvSpPr>
      <xdr:spPr>
        <a:xfrm>
          <a:off x="4191000" y="1819275"/>
          <a:ext cx="1419225" cy="581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16"/>
  <sheetViews>
    <sheetView showGridLines="0" showRowColHeaders="0" tabSelected="1" workbookViewId="0">
      <selection activeCell="B16" sqref="B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" customWidth="1"/>
    <col min="2" max="2" width="18.85546875" bestFit="1" customWidth="1"/>
    <col min="3" max="3" width="3.140625" customWidth="1"/>
    <col min="4" max="4" width="27.42578125" bestFit="1" customWidth="1"/>
    <col min="5" max="5" width="2.42578125" customWidth="1"/>
    <col min="6" max="6" width="24.28515625" bestFit="1" customWidth="1"/>
  </cols>
  <sheetData>
    <row r="14" spans="2:6" ht="15.75" thickBot="1" x14ac:dyDescent="0.3"/>
    <row r="15" spans="2:6" ht="15.75" thickBot="1" x14ac:dyDescent="0.3">
      <c r="B15" s="25" t="s">
        <v>33</v>
      </c>
      <c r="C15" s="26"/>
      <c r="D15" s="6" t="s">
        <v>34</v>
      </c>
      <c r="E15" s="25" t="s">
        <v>35</v>
      </c>
      <c r="F15" s="26"/>
    </row>
    <row r="16" spans="2:6" x14ac:dyDescent="0.25">
      <c r="B16" s="13">
        <f>SUM(Treinos!E16:E40)</f>
        <v>57.47</v>
      </c>
      <c r="C16" s="13"/>
      <c r="D16" s="14">
        <f>SUM(Provas!F16:F40)</f>
        <v>550</v>
      </c>
      <c r="E16" s="13"/>
      <c r="F16" s="13" t="str">
        <f>Provas!C18</f>
        <v>Maratona de Curitiba</v>
      </c>
    </row>
  </sheetData>
  <sheetProtection sheet="1" objects="1" scenarios="1" selectLockedCells="1"/>
  <mergeCells count="2">
    <mergeCell ref="B15:C15"/>
    <mergeCell ref="E15:F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1097-AABE-4711-8F47-DA237EA65F4A}">
  <dimension ref="B14:F40"/>
  <sheetViews>
    <sheetView showGridLines="0" showRowColHeaders="0" workbookViewId="0">
      <selection activeCell="F16" sqref="F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" customWidth="1"/>
    <col min="2" max="2" width="12.5703125" customWidth="1"/>
    <col min="3" max="3" width="26.7109375" customWidth="1"/>
    <col min="4" max="4" width="13.5703125" bestFit="1" customWidth="1"/>
    <col min="5" max="5" width="11.42578125" customWidth="1"/>
    <col min="6" max="6" width="11.85546875" customWidth="1"/>
  </cols>
  <sheetData>
    <row r="14" spans="2:6" ht="15.75" thickBot="1" x14ac:dyDescent="0.3"/>
    <row r="15" spans="2:6" ht="15.75" thickBot="1" x14ac:dyDescent="0.3">
      <c r="B15" s="8" t="s">
        <v>8</v>
      </c>
      <c r="C15" s="8" t="s">
        <v>9</v>
      </c>
      <c r="D15" s="8" t="s">
        <v>10</v>
      </c>
      <c r="E15" s="8" t="s">
        <v>6</v>
      </c>
      <c r="F15" s="8" t="s">
        <v>11</v>
      </c>
    </row>
    <row r="16" spans="2:6" x14ac:dyDescent="0.25">
      <c r="B16" s="15">
        <v>46250</v>
      </c>
      <c r="C16" s="16" t="s">
        <v>18</v>
      </c>
      <c r="D16" s="17" t="s">
        <v>12</v>
      </c>
      <c r="E16" s="17" t="s">
        <v>19</v>
      </c>
      <c r="F16" s="18">
        <v>160</v>
      </c>
    </row>
    <row r="17" spans="2:6" x14ac:dyDescent="0.25">
      <c r="B17" s="15">
        <v>46313</v>
      </c>
      <c r="C17" s="16" t="s">
        <v>15</v>
      </c>
      <c r="D17" s="17" t="s">
        <v>16</v>
      </c>
      <c r="E17" s="17" t="s">
        <v>17</v>
      </c>
      <c r="F17" s="18">
        <v>140</v>
      </c>
    </row>
    <row r="18" spans="2:6" x14ac:dyDescent="0.25">
      <c r="B18" s="15">
        <v>46341</v>
      </c>
      <c r="C18" s="16" t="s">
        <v>38</v>
      </c>
      <c r="D18" s="17" t="s">
        <v>13</v>
      </c>
      <c r="E18" s="17" t="s">
        <v>14</v>
      </c>
      <c r="F18" s="18">
        <v>250</v>
      </c>
    </row>
    <row r="19" spans="2:6" x14ac:dyDescent="0.25">
      <c r="B19" s="1"/>
      <c r="F19" s="3"/>
    </row>
    <row r="20" spans="2:6" x14ac:dyDescent="0.25">
      <c r="B20" s="1"/>
      <c r="F20" s="3"/>
    </row>
    <row r="21" spans="2:6" x14ac:dyDescent="0.25">
      <c r="B21" s="1"/>
      <c r="F21" s="3"/>
    </row>
    <row r="22" spans="2:6" x14ac:dyDescent="0.25">
      <c r="B22" s="1"/>
      <c r="F22" s="3"/>
    </row>
    <row r="23" spans="2:6" x14ac:dyDescent="0.25">
      <c r="B23" s="1"/>
      <c r="F23" s="3"/>
    </row>
    <row r="24" spans="2:6" x14ac:dyDescent="0.25">
      <c r="B24" s="1"/>
      <c r="F24" s="3"/>
    </row>
    <row r="25" spans="2:6" x14ac:dyDescent="0.25">
      <c r="B25" s="1"/>
      <c r="F25" s="3"/>
    </row>
    <row r="26" spans="2:6" x14ac:dyDescent="0.25">
      <c r="B26" s="1"/>
      <c r="F26" s="3"/>
    </row>
    <row r="27" spans="2:6" x14ac:dyDescent="0.25">
      <c r="B27" s="1"/>
      <c r="F27" s="3"/>
    </row>
    <row r="28" spans="2:6" x14ac:dyDescent="0.25">
      <c r="B28" s="1"/>
      <c r="F28" s="3"/>
    </row>
    <row r="29" spans="2:6" x14ac:dyDescent="0.25">
      <c r="B29" s="1"/>
      <c r="F29" s="3"/>
    </row>
    <row r="30" spans="2:6" x14ac:dyDescent="0.25">
      <c r="B30" s="1"/>
      <c r="F30" s="3"/>
    </row>
    <row r="31" spans="2:6" x14ac:dyDescent="0.25">
      <c r="B31" s="1"/>
      <c r="F31" s="3"/>
    </row>
    <row r="32" spans="2:6" x14ac:dyDescent="0.25">
      <c r="B32" s="1"/>
      <c r="F32" s="3"/>
    </row>
    <row r="33" spans="2:6" x14ac:dyDescent="0.25">
      <c r="B33" s="1"/>
      <c r="F33" s="3"/>
    </row>
    <row r="34" spans="2:6" x14ac:dyDescent="0.25">
      <c r="B34" s="1"/>
      <c r="F34" s="3"/>
    </row>
    <row r="35" spans="2:6" x14ac:dyDescent="0.25">
      <c r="B35" s="1"/>
      <c r="F35" s="3"/>
    </row>
    <row r="36" spans="2:6" x14ac:dyDescent="0.25">
      <c r="B36" s="1"/>
      <c r="F36" s="3"/>
    </row>
    <row r="37" spans="2:6" x14ac:dyDescent="0.25">
      <c r="B37" s="1"/>
      <c r="F37" s="3"/>
    </row>
    <row r="38" spans="2:6" x14ac:dyDescent="0.25">
      <c r="B38" s="1"/>
      <c r="F38" s="3"/>
    </row>
    <row r="39" spans="2:6" x14ac:dyDescent="0.25">
      <c r="B39" s="1"/>
      <c r="F39" s="3"/>
    </row>
    <row r="40" spans="2:6" x14ac:dyDescent="0.25">
      <c r="B40" s="1"/>
      <c r="F40" s="3"/>
    </row>
  </sheetData>
  <sheetProtection sheet="1" objects="1" scenarios="1" selectLockedCells="1"/>
  <sortState xmlns:xlrd2="http://schemas.microsoft.com/office/spreadsheetml/2017/richdata2" ref="B16:F18">
    <sortCondition ref="B16:B18"/>
  </sortState>
  <dataValidations count="2">
    <dataValidation type="list" allowBlank="1" showInputMessage="1" showErrorMessage="1" sqref="D16:D40" xr:uid="{0E69B252-CCB8-44CB-9BDE-3D29100C8BE9}">
      <formula1>"5k,10k,15k,21k,42k,Outra"</formula1>
    </dataValidation>
    <dataValidation type="list" allowBlank="1" showInputMessage="1" showErrorMessage="1" sqref="E16:E40" xr:uid="{EC7D03E4-63A8-4ACB-B720-0E89713A7FDD}">
      <formula1>"Planejada,Inscrito,Concluída"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08D5-91A9-4DC1-B28B-C5697A78AEE4}">
  <dimension ref="B14:H41"/>
  <sheetViews>
    <sheetView showGridLines="0" showRowColHeaders="0" workbookViewId="0">
      <selection activeCell="F18" sqref="F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.85546875" customWidth="1"/>
    <col min="2" max="2" width="10.7109375" bestFit="1" customWidth="1"/>
    <col min="3" max="3" width="17.5703125" bestFit="1" customWidth="1"/>
    <col min="4" max="4" width="11" customWidth="1"/>
    <col min="5" max="5" width="12.28515625" customWidth="1"/>
    <col min="6" max="6" width="10.5703125" customWidth="1"/>
    <col min="7" max="7" width="7.85546875" customWidth="1"/>
    <col min="8" max="8" width="11.140625" bestFit="1" customWidth="1"/>
    <col min="9" max="9" width="9.28515625" customWidth="1"/>
    <col min="10" max="10" width="9" customWidth="1"/>
  </cols>
  <sheetData>
    <row r="14" spans="2:8" ht="15.75" thickBot="1" x14ac:dyDescent="0.3"/>
    <row r="15" spans="2:8" ht="46.5" customHeight="1" thickBot="1" x14ac:dyDescent="0.3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5</v>
      </c>
      <c r="H15" s="6" t="s">
        <v>6</v>
      </c>
    </row>
    <row r="16" spans="2:8" x14ac:dyDescent="0.25">
      <c r="B16" s="15">
        <v>46184</v>
      </c>
      <c r="C16" s="16" t="s">
        <v>36</v>
      </c>
      <c r="D16" s="19">
        <v>10</v>
      </c>
      <c r="E16" s="19">
        <v>10.16</v>
      </c>
      <c r="F16" s="20">
        <v>3.7037037037037035E-2</v>
      </c>
      <c r="G16" s="24">
        <f>IF(E16&gt;0, F16 / E16, "")</f>
        <v>3.6453776611256924E-3</v>
      </c>
      <c r="H16" s="11" t="str">
        <f>IF(E16="", "", IF(E16&gt;=D16, "Concluído", "Incompleto"))</f>
        <v>Concluído</v>
      </c>
    </row>
    <row r="17" spans="2:8" x14ac:dyDescent="0.25">
      <c r="B17" s="15">
        <v>46177</v>
      </c>
      <c r="C17" s="16" t="s">
        <v>37</v>
      </c>
      <c r="D17" s="16">
        <v>11.5</v>
      </c>
      <c r="E17" s="19">
        <v>11.54</v>
      </c>
      <c r="F17" s="20">
        <v>4.2557870370370371E-2</v>
      </c>
      <c r="G17" s="24">
        <f t="shared" ref="G17:G21" si="0">IF(E17&gt;0, F17 / E17, "")</f>
        <v>3.6878570511586113E-3</v>
      </c>
      <c r="H17" s="11" t="str">
        <f t="shared" ref="H17:H21" si="1">IF(E17="", "", IF(E17&gt;=D17, "Concluído", "Incompleto"))</f>
        <v>Concluído</v>
      </c>
    </row>
    <row r="18" spans="2:8" x14ac:dyDescent="0.25">
      <c r="B18" s="15">
        <v>46173</v>
      </c>
      <c r="C18" s="16" t="s">
        <v>37</v>
      </c>
      <c r="D18" s="16">
        <v>11.5</v>
      </c>
      <c r="E18" s="19">
        <v>11.5</v>
      </c>
      <c r="F18" s="20">
        <v>4.4097222222222225E-2</v>
      </c>
      <c r="G18" s="24">
        <f t="shared" si="0"/>
        <v>3.8345410628019328E-3</v>
      </c>
      <c r="H18" s="11" t="str">
        <f t="shared" si="1"/>
        <v>Concluído</v>
      </c>
    </row>
    <row r="19" spans="2:8" x14ac:dyDescent="0.25">
      <c r="B19" s="15">
        <v>46172</v>
      </c>
      <c r="C19" s="16" t="s">
        <v>37</v>
      </c>
      <c r="D19" s="16">
        <v>10</v>
      </c>
      <c r="E19" s="19">
        <v>10.26</v>
      </c>
      <c r="F19" s="20">
        <v>3.9953703703703707E-2</v>
      </c>
      <c r="G19" s="24">
        <f t="shared" si="0"/>
        <v>3.8941231680023106E-3</v>
      </c>
      <c r="H19" s="11" t="str">
        <f t="shared" si="1"/>
        <v>Concluído</v>
      </c>
    </row>
    <row r="20" spans="2:8" x14ac:dyDescent="0.25">
      <c r="B20" s="15">
        <v>46166</v>
      </c>
      <c r="C20" s="16" t="s">
        <v>7</v>
      </c>
      <c r="D20" s="16">
        <v>10</v>
      </c>
      <c r="E20" s="19">
        <v>9.9600000000000009</v>
      </c>
      <c r="F20" s="20">
        <v>3.4606481481481481E-2</v>
      </c>
      <c r="G20" s="24">
        <f t="shared" si="0"/>
        <v>3.474546333482076E-3</v>
      </c>
      <c r="H20" s="11" t="str">
        <f t="shared" si="1"/>
        <v>Incompleto</v>
      </c>
    </row>
    <row r="21" spans="2:8" x14ac:dyDescent="0.25">
      <c r="B21" s="15">
        <v>46161</v>
      </c>
      <c r="C21" s="16" t="s">
        <v>36</v>
      </c>
      <c r="D21" s="16">
        <v>4</v>
      </c>
      <c r="E21" s="19">
        <v>4.05</v>
      </c>
      <c r="F21" s="20">
        <v>1.7349537037037038E-2</v>
      </c>
      <c r="G21" s="24">
        <f t="shared" si="0"/>
        <v>4.2838363054412444E-3</v>
      </c>
      <c r="H21" s="11" t="str">
        <f t="shared" si="1"/>
        <v>Concluído</v>
      </c>
    </row>
    <row r="22" spans="2:8" x14ac:dyDescent="0.25">
      <c r="G22" s="2"/>
    </row>
    <row r="23" spans="2:8" x14ac:dyDescent="0.25">
      <c r="G23" s="2"/>
    </row>
    <row r="24" spans="2:8" x14ac:dyDescent="0.25">
      <c r="G24" s="2"/>
    </row>
    <row r="25" spans="2:8" x14ac:dyDescent="0.25">
      <c r="G25" s="2"/>
    </row>
    <row r="26" spans="2:8" x14ac:dyDescent="0.25">
      <c r="G26" s="2"/>
    </row>
    <row r="27" spans="2:8" x14ac:dyDescent="0.25">
      <c r="G27" s="2"/>
    </row>
    <row r="28" spans="2:8" x14ac:dyDescent="0.25">
      <c r="G28" s="2"/>
    </row>
    <row r="29" spans="2:8" x14ac:dyDescent="0.25">
      <c r="G29" s="2"/>
    </row>
    <row r="30" spans="2:8" x14ac:dyDescent="0.25">
      <c r="G30" s="2"/>
    </row>
    <row r="31" spans="2:8" x14ac:dyDescent="0.25">
      <c r="G31" s="2"/>
    </row>
    <row r="32" spans="2:8" x14ac:dyDescent="0.25">
      <c r="G32" s="2"/>
    </row>
    <row r="33" spans="7:8" x14ac:dyDescent="0.25">
      <c r="G33" s="2"/>
    </row>
    <row r="34" spans="7:8" x14ac:dyDescent="0.25">
      <c r="G34" s="2"/>
    </row>
    <row r="35" spans="7:8" x14ac:dyDescent="0.25">
      <c r="G35" s="2"/>
    </row>
    <row r="36" spans="7:8" x14ac:dyDescent="0.25">
      <c r="G36" s="2"/>
    </row>
    <row r="37" spans="7:8" x14ac:dyDescent="0.25">
      <c r="G37" s="2"/>
    </row>
    <row r="38" spans="7:8" x14ac:dyDescent="0.25">
      <c r="G38" s="2"/>
    </row>
    <row r="39" spans="7:8" x14ac:dyDescent="0.25">
      <c r="G39" s="2"/>
    </row>
    <row r="40" spans="7:8" x14ac:dyDescent="0.25">
      <c r="G40" s="2"/>
    </row>
    <row r="41" spans="7:8" x14ac:dyDescent="0.25">
      <c r="G41" s="2" t="str">
        <f t="shared" ref="G41" si="2">IF(E41&gt;0, F41 / E41, "")</f>
        <v/>
      </c>
      <c r="H41" t="str">
        <f t="shared" ref="H41" si="3">IF(E41="", "", IF(E41&gt;=D41, "Concluído", "Incompleto"))</f>
        <v/>
      </c>
    </row>
  </sheetData>
  <sheetProtection sheet="1" objects="1" scenarios="1" selectLockedCells="1"/>
  <dataValidations count="1">
    <dataValidation type="list" allowBlank="1" showInputMessage="1" showErrorMessage="1" sqref="C16:C40" xr:uid="{AA908B5F-FE1C-4EF3-BB38-0E09594EDC37}">
      <formula1>"Longão,Tiros,Ritmo,Regenerativo"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39E7-AC8B-4D2F-AB79-52B0B01EB696}">
  <dimension ref="B14:E40"/>
  <sheetViews>
    <sheetView showGridLines="0" showRowColHeaders="0" workbookViewId="0">
      <selection activeCell="B16" sqref="B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6.140625" customWidth="1"/>
    <col min="2" max="2" width="22.42578125" customWidth="1"/>
    <col min="3" max="3" width="20.42578125" customWidth="1"/>
    <col min="4" max="5" width="18.140625" bestFit="1" customWidth="1"/>
  </cols>
  <sheetData>
    <row r="14" spans="2:5" ht="15.75" thickBot="1" x14ac:dyDescent="0.3"/>
    <row r="15" spans="2:5" ht="15.75" thickBot="1" x14ac:dyDescent="0.3">
      <c r="B15" s="6" t="s">
        <v>20</v>
      </c>
      <c r="C15" s="6" t="s">
        <v>21</v>
      </c>
      <c r="D15" s="6" t="s">
        <v>22</v>
      </c>
      <c r="E15" s="5"/>
    </row>
    <row r="16" spans="2:5" x14ac:dyDescent="0.25">
      <c r="B16" s="21">
        <v>10</v>
      </c>
      <c r="C16" s="22">
        <v>3.4606481481481481E-2</v>
      </c>
      <c r="D16" s="23">
        <f>C16/B16</f>
        <v>3.460648148148148E-3</v>
      </c>
    </row>
    <row r="17" spans="2:5" x14ac:dyDescent="0.25">
      <c r="D17" s="4"/>
      <c r="E17" s="2"/>
    </row>
    <row r="18" spans="2:5" x14ac:dyDescent="0.25">
      <c r="E18" s="2"/>
    </row>
    <row r="19" spans="2:5" ht="15.75" thickBot="1" x14ac:dyDescent="0.3">
      <c r="E19" s="2"/>
    </row>
    <row r="20" spans="2:5" ht="15.75" thickBot="1" x14ac:dyDescent="0.3">
      <c r="B20" s="9" t="s">
        <v>1</v>
      </c>
      <c r="C20" s="9" t="s">
        <v>23</v>
      </c>
      <c r="D20" s="9" t="s">
        <v>24</v>
      </c>
      <c r="E20" s="2"/>
    </row>
    <row r="21" spans="2:5" x14ac:dyDescent="0.25">
      <c r="B21" s="11" t="s">
        <v>25</v>
      </c>
      <c r="C21" s="12" t="s">
        <v>32</v>
      </c>
      <c r="D21" s="10">
        <f>$D$16*(1+0.3)</f>
        <v>4.4988425925925925E-3</v>
      </c>
      <c r="E21" s="2"/>
    </row>
    <row r="22" spans="2:5" x14ac:dyDescent="0.25">
      <c r="B22" s="11" t="s">
        <v>26</v>
      </c>
      <c r="C22" s="12" t="s">
        <v>27</v>
      </c>
      <c r="D22" s="10">
        <f>$D$16*(1+0.15)</f>
        <v>3.9797453703703696E-3</v>
      </c>
      <c r="E22" s="2"/>
    </row>
    <row r="23" spans="2:5" x14ac:dyDescent="0.25">
      <c r="B23" s="11" t="s">
        <v>28</v>
      </c>
      <c r="C23" s="12" t="s">
        <v>30</v>
      </c>
      <c r="D23" s="10">
        <f>$D$16</f>
        <v>3.460648148148148E-3</v>
      </c>
      <c r="E23" s="2"/>
    </row>
    <row r="24" spans="2:5" x14ac:dyDescent="0.25">
      <c r="B24" s="11" t="s">
        <v>29</v>
      </c>
      <c r="C24" s="12" t="s">
        <v>31</v>
      </c>
      <c r="D24" s="10">
        <f>$D$16*(1-0.08)</f>
        <v>3.1837962962962961E-3</v>
      </c>
      <c r="E24" s="2"/>
    </row>
    <row r="25" spans="2:5" x14ac:dyDescent="0.25">
      <c r="D25" s="2"/>
      <c r="E25" s="2"/>
    </row>
    <row r="26" spans="2:5" x14ac:dyDescent="0.25">
      <c r="D26" s="2"/>
      <c r="E26" s="2"/>
    </row>
    <row r="27" spans="2:5" x14ac:dyDescent="0.25">
      <c r="D27" s="2"/>
      <c r="E27" s="2"/>
    </row>
    <row r="28" spans="2:5" x14ac:dyDescent="0.25">
      <c r="D28" s="2"/>
      <c r="E28" s="2"/>
    </row>
    <row r="29" spans="2:5" x14ac:dyDescent="0.25">
      <c r="D29" s="2"/>
      <c r="E29" s="2"/>
    </row>
    <row r="30" spans="2:5" x14ac:dyDescent="0.25">
      <c r="D30" s="2"/>
      <c r="E30" s="2"/>
    </row>
    <row r="31" spans="2:5" x14ac:dyDescent="0.25">
      <c r="D31" s="2"/>
      <c r="E31" s="2"/>
    </row>
    <row r="32" spans="2:5" x14ac:dyDescent="0.25">
      <c r="D32" s="2"/>
      <c r="E32" s="2"/>
    </row>
    <row r="33" spans="4:5" x14ac:dyDescent="0.25">
      <c r="D33" s="2"/>
      <c r="E33" s="2"/>
    </row>
    <row r="34" spans="4:5" x14ac:dyDescent="0.25">
      <c r="D34" s="2"/>
      <c r="E34" s="2"/>
    </row>
    <row r="35" spans="4:5" x14ac:dyDescent="0.25">
      <c r="D35" s="2"/>
      <c r="E35" s="2"/>
    </row>
    <row r="36" spans="4:5" x14ac:dyDescent="0.25">
      <c r="D36" s="2"/>
      <c r="E36" s="2"/>
    </row>
    <row r="37" spans="4:5" x14ac:dyDescent="0.25">
      <c r="D37" s="2"/>
      <c r="E37" s="2"/>
    </row>
    <row r="38" spans="4:5" x14ac:dyDescent="0.25">
      <c r="D38" s="2"/>
      <c r="E38" s="2"/>
    </row>
    <row r="39" spans="4:5" x14ac:dyDescent="0.25">
      <c r="D39" s="2"/>
      <c r="E39" s="2"/>
    </row>
    <row r="40" spans="4:5" x14ac:dyDescent="0.25">
      <c r="D40" s="2"/>
      <c r="E40" s="2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Principal</vt:lpstr>
      <vt:lpstr>Provas</vt:lpstr>
      <vt:lpstr>Treinos</vt:lpstr>
      <vt:lpstr>Ritmo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Suto</dc:creator>
  <cp:lastModifiedBy>Luiz Suto</cp:lastModifiedBy>
  <dcterms:created xsi:type="dcterms:W3CDTF">2015-06-05T18:19:34Z</dcterms:created>
  <dcterms:modified xsi:type="dcterms:W3CDTF">2026-09-18T16:02:07Z</dcterms:modified>
</cp:coreProperties>
</file>